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vsat\OneDrive\Desktop\part2_kpi_experiment\Outputs\"/>
    </mc:Choice>
  </mc:AlternateContent>
  <xr:revisionPtr revIDLastSave="0" documentId="13_ncr:1_{A768BEC1-5082-4433-B8E3-FDBB4544BD54}" xr6:coauthVersionLast="47" xr6:coauthVersionMax="47" xr10:uidLastSave="{00000000-0000-0000-0000-000000000000}"/>
  <bookViews>
    <workbookView xWindow="-110" yWindow="-110" windowWidth="19420" windowHeight="10300" firstSheet="7" activeTab="10" xr2:uid="{00000000-000D-0000-FFFF-FFFF00000000}"/>
  </bookViews>
  <sheets>
    <sheet name="Summary_Metrics" sheetId="1" r:id="rId1"/>
    <sheet name="Landing_Page_Rate" sheetId="2" r:id="rId2"/>
    <sheet name="Trial_Start_Rate" sheetId="3" r:id="rId3"/>
    <sheet name="Onboarding_Completion" sheetId="4" r:id="rId4"/>
    <sheet name="Paid Conversion" sheetId="5" r:id="rId5"/>
    <sheet name="ARPU" sheetId="6" r:id="rId6"/>
    <sheet name="Revenue_Per_Converted_User" sheetId="7" r:id="rId7"/>
    <sheet name="Refund_Rate" sheetId="8" r:id="rId8"/>
    <sheet name="Support_Ticket_Rate" sheetId="9" r:id="rId9"/>
    <sheet name="Engagement_Score" sheetId="10" r:id="rId10"/>
    <sheet name="Days_To_Convert" sheetId="11" r:id="rId11"/>
  </sheets>
  <calcPr calcId="191029"/>
  <pivotCaches>
    <pivotCache cacheId="3" r:id="rId12"/>
    <pivotCache cacheId="2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9" l="1"/>
  <c r="C2" i="9"/>
  <c r="C3" i="8"/>
  <c r="C2" i="8"/>
  <c r="C3" i="5"/>
  <c r="C2" i="5"/>
  <c r="C3" i="4"/>
  <c r="C2" i="4"/>
  <c r="C3" i="3"/>
  <c r="C2" i="3"/>
  <c r="C3" i="2"/>
  <c r="C2" i="2"/>
</calcChain>
</file>

<file path=xl/sharedStrings.xml><?xml version="1.0" encoding="utf-8"?>
<sst xmlns="http://schemas.openxmlformats.org/spreadsheetml/2006/main" count="74" uniqueCount="29">
  <si>
    <t>Metric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</si>
  <si>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</si>
  <si>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</si>
  <si>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</si>
  <si>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</si>
  <si>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</si>
  <si>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</si>
  <si>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</si>
  <si>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</si>
  <si>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</si>
  <si>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</si>
  <si>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</si>
  <si>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</si>
  <si>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Row Labels</t>
  </si>
  <si>
    <t>Control</t>
  </si>
  <si>
    <t>Grand Total</t>
  </si>
  <si>
    <t>Sum of visited_landing_page</t>
  </si>
  <si>
    <t>Rate</t>
  </si>
  <si>
    <t>Sum of started_trial</t>
  </si>
  <si>
    <t>Sum of completed_onboarding</t>
  </si>
  <si>
    <t>Sum of converted_to_paid</t>
  </si>
  <si>
    <t>Average of revenue_30d</t>
  </si>
  <si>
    <t>converted_to_paid</t>
  </si>
  <si>
    <t>Sum of refund_requested</t>
  </si>
  <si>
    <t>Sum of support_tickets_30d</t>
  </si>
  <si>
    <t>Average of engagement_score</t>
  </si>
  <si>
    <t>Average of days_to_convert</t>
  </si>
  <si>
    <t>8.86 days</t>
  </si>
  <si>
    <t>6.40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</si>
</sst>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2" fillId="0" borderId="0" xfId="0" applyNumberFormat="1" applyFont="1"/>
    <xf numFmtId="10" fontId="0" fillId="0" borderId="0" xfId="0" applyNumberFormat="1" applyAlignment="1">
      <alignment vertical="center" wrapText="1"/>
    </xf>
    <xf numFmtId="0" fontId="2" fillId="0" borderId="0" xfId="0" applyFont="1"/>
    <xf numFmtId="10" fontId="2" fillId="0" borderId="0" xfId="1" applyNumberFormat="1" applyFont="1"/>
    <xf numFmtId="10" fontId="0" fillId="0" borderId="0" xfId="1" applyNumberFormat="1" applyFont="1"/>
    <xf numFmtId="2" fontId="0" fillId="0" borderId="0" xfId="0" applyNumberFormat="1"/>
    <xf numFmtId="0" fontId="0" fillId="0" borderId="0" xfId="0" applyAlignment="1">
      <alignment horizontal="right" vertical="center" wrapText="1"/>
    </xf>
  </cellXfs>
  <cellStyles count="2">
    <cellStyle name="Normal" xfId="0" builtinId="0"/>
    <cellStyle name="Percent" xfId="1" builtinId="5"/>
  </cellStyles>
  <dxfs count="5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7" formatCode="0.000"/>
    </dxf>
    <dxf>
      <numFmt numFmtId="2" formatCode="0.00"/>
    </dxf>
    <dxf>
      <numFmt numFmtId="177" formatCode="0.000"/>
    </dxf>
    <dxf>
      <numFmt numFmtId="176" formatCode="0.0000"/>
    </dxf>
    <dxf>
      <numFmt numFmtId="176" formatCode="0.0000"/>
    </dxf>
    <dxf>
      <numFmt numFmtId="175" formatCode="0.00000"/>
    </dxf>
    <dxf>
      <numFmt numFmtId="175" formatCode="0.00000"/>
    </dxf>
    <dxf>
      <numFmt numFmtId="174" formatCode="0.000000"/>
    </dxf>
    <dxf>
      <numFmt numFmtId="174" formatCode="0.000000"/>
    </dxf>
    <dxf>
      <numFmt numFmtId="173" formatCode="0.0000000"/>
    </dxf>
    <dxf>
      <numFmt numFmtId="173" formatCode="0.0000000"/>
    </dxf>
    <dxf>
      <numFmt numFmtId="177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8" formatCode="0.0"/>
    </dxf>
    <dxf>
      <numFmt numFmtId="2" formatCode="0.00"/>
    </dxf>
    <dxf>
      <numFmt numFmtId="2" formatCode="0.00"/>
    </dxf>
    <dxf>
      <numFmt numFmtId="177" formatCode="0.000"/>
    </dxf>
    <dxf>
      <numFmt numFmtId="177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8" formatCode="0.0"/>
    </dxf>
    <dxf>
      <numFmt numFmtId="2" formatCode="0.00"/>
    </dxf>
    <dxf>
      <numFmt numFmtId="178" formatCode="0.0"/>
    </dxf>
    <dxf>
      <numFmt numFmtId="2" formatCode="0.00"/>
    </dxf>
    <dxf>
      <numFmt numFmtId="2" formatCode="0.00"/>
    </dxf>
    <dxf>
      <numFmt numFmtId="2" formatCode="0.00"/>
    </dxf>
    <dxf>
      <numFmt numFmtId="177" formatCode="0.000"/>
    </dxf>
    <dxf>
      <numFmt numFmtId="177" formatCode="0.000"/>
    </dxf>
    <dxf>
      <numFmt numFmtId="176" formatCode="0.0000"/>
    </dxf>
    <dxf>
      <numFmt numFmtId="176" formatCode="0.0000"/>
    </dxf>
    <dxf>
      <numFmt numFmtId="175" formatCode="0.00000"/>
    </dxf>
    <dxf>
      <numFmt numFmtId="175" formatCode="0.00000"/>
    </dxf>
    <dxf>
      <numFmt numFmtId="174" formatCode="0.000000"/>
    </dxf>
    <dxf>
      <numFmt numFmtId="174" formatCode="0.000000"/>
    </dxf>
    <dxf>
      <numFmt numFmtId="173" formatCode="0.0000000"/>
    </dxf>
    <dxf>
      <numFmt numFmtId="173" formatCode="0.0000000"/>
    </dxf>
    <dxf>
      <numFmt numFmtId="177" formatCode="0.000"/>
    </dxf>
    <dxf>
      <numFmt numFmtId="2" formatCode="0.00"/>
    </dxf>
    <dxf>
      <numFmt numFmtId="176" formatCode="0.0000"/>
    </dxf>
    <dxf>
      <numFmt numFmtId="175" formatCode="0.00000"/>
    </dxf>
    <dxf>
      <numFmt numFmtId="17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vsat/OneDrive/Desktop/part2_kpi_experiment/Data/campaign_experiment_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vsat/OneDrive/Desktop/part2_kpi_experiment/Analysis/experiment_analysi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C V" refreshedDate="46197.526911226851" createdVersion="8" refreshedVersion="8" minRefreshableVersion="3" recordCount="1408" xr:uid="{D6F51B3B-0D42-4CB3-BA9F-4A6F44B5168E}">
  <cacheSource type="worksheet">
    <worksheetSource ref="A1:P1409" sheet="experiment_data" r:id="rId2"/>
  </cacheSource>
  <cacheFields count="16">
    <cacheField name="user_id" numFmtId="0">
      <sharedItems/>
    </cacheField>
    <cacheField name="signup_date" numFmtId="168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C V" refreshedDate="46197.531280902775" createdVersion="8" refreshedVersion="8" minRefreshableVersion="3" recordCount="1408" xr:uid="{D93754FC-668B-4596-BCB4-3F323F13BA5E}">
  <cacheSource type="worksheet">
    <worksheetSource ref="A1:P1409" sheet="Raw_Data" r:id="rId2"/>
  </cacheSource>
  <cacheFields count="16">
    <cacheField name="user_id" numFmtId="0">
      <sharedItems/>
    </cacheField>
    <cacheField name="signup_date" numFmtId="168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x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x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x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x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x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x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x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x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x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x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x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x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x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x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x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x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x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x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x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x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x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x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x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x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x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x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x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x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x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x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x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x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x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x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x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x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x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x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x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x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x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x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x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x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x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x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x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x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x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x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x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x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x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x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x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x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x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x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x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x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x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x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x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x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x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x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x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x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x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x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x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x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x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x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x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x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x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x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x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x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x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x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x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x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x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x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x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x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x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x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x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x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x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x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x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x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x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x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x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x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x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x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x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x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x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x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x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x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x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x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x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x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x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x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x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x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x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x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x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x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x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x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x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x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x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x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x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x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x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x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x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x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x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x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x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x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x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x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x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x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x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x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x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x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x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x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x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x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x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x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x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x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x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x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x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x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x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x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x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x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x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x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x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x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x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x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x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x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x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x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x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x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x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x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x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x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x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x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x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x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x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x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x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x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x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x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x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x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x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x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x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x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x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x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x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x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x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x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x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x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x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x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x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x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x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x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x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x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x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x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x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x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x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x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x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x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x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x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x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x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x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x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x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x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x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x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x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x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x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x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x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x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x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x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x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x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x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x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x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x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x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x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x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x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x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x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x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x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x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x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x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x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x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x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x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x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x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x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x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x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x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x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x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x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x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x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x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x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x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x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x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x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x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x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x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x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x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x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x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x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x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x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x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x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x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x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x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x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x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x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x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x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x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x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x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x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x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x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x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x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x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x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x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x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x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x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x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x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x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x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x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x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x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x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x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x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x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x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x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x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x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x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x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x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x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x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x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x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x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x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x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x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x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x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x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x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x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x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x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x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x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x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x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x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x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x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x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x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x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x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x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x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x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x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x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x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x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x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x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x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x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x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x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x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x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x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x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x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x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x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x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x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x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x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x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x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x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x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x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x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x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x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x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x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x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x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x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x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x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x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x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x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x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x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x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x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x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x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x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x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x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x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x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x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x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x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x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x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x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x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x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x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x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x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x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x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x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x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x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x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x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x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x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x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x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x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x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x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x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x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x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x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x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x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x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x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x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x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x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x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x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x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x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x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x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x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x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x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x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x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x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x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x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x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x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x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x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x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x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x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x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x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x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x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x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x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x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x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x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x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x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x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x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x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x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x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x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x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x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x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x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x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x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x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x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x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x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x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x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x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x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x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x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x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x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x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x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x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x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x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x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x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x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x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x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x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x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x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x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x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x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x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x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x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x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x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x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x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x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x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x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x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x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x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x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x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x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x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x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x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x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x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x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x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x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x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x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x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x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x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x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x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x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x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x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x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x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x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x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x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x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x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x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x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x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x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x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x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x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x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x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x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x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x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x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x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x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x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x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x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x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x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x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x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x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x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x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x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x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x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x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x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x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x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x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x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x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x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x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x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x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x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x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x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x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x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x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x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x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x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x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x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x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x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x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x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x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x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x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x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x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x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x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x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x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x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x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x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x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x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x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x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x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x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x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x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x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x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x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x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x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x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x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x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x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x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x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x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x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x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x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x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x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x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x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x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x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x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x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x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x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x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x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x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x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x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x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x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x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x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x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x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x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x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x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x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x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x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x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x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x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x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x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x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x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x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x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x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x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x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x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x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x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x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x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x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x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x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x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x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x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x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x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x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x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x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x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x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x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x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x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x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x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x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x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x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x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x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x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x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x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x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x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x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x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x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x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x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x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x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x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x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x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x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x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x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x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x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x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x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x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x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x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x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x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x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x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x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x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x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x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x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x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x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x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x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x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x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x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x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x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x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x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x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x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x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x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x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x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x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x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x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x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x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x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x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x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x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x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x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x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x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x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x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x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x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x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x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x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x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x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x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x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x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x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x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x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x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x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x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x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x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x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x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x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x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x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x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x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x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x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x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x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x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x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x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x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x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x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x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x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x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x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x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x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x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x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x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x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x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x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x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x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x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x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x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x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x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x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x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x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x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x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x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x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x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x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x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x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x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x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x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x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x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x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x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x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x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x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x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x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x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x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x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x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x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x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x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x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x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x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x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x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x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x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x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x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x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x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x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x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x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x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x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x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x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x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x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x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x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x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x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x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x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x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x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x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x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x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x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x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x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x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x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x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x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x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x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x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x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x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x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x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x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x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x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x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x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x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x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x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x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x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x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x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x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x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x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x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x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x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x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x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x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x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x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x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x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x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x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x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x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x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x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x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x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x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x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x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x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x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x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x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x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x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x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x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x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x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x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x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x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x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x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x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x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x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x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x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x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x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x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x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x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x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x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x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x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x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x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x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x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x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x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x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x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x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x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x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x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x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x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x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x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x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x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x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x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x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x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x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x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x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x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x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x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x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x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x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x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x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x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x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x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x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x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x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x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x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x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x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x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x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x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x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x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x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x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x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x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x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x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x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x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x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x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x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x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x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x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x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x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x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x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x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x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x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x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x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x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x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x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x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x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x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x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x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x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x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x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x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x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x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x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x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x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x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x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x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x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x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x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x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x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x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x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x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x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x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x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x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x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x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x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x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x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x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x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x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x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x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x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x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x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x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x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x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x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x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x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x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x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x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x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x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x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x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x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x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x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x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x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x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x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x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x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x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x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x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x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x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x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x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x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x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x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x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x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x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x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x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x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x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x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x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x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x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x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x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x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x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x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x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x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x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x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x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x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x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x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x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x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x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x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x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x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x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x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x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x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x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x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x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x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x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x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x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x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x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x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x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x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x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x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x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x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x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x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x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x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x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x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x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x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x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x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x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x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x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x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x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x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x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x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x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x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x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x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x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x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x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x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x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x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x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x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x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x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x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x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x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x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x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x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x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x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x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x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x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x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x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x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x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x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x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x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x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x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x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x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x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x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x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x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x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x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x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x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x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x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x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x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x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x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x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x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x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x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x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x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x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x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x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x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x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x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x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x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x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x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x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x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x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x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x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x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x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x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x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x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x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x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x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x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x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x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x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x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x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x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x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x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x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x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x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x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x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x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x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x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x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x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x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x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x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x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x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x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x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x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x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x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x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x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x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x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x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x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x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x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x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x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x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x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x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x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x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x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x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x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x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x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x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x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x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x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x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x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x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x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x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x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x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x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x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x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x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x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x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x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x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x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x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x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x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x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x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x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x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x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x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x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x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x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x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x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x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x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x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x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x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x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x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x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x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x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x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x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x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x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x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x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x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x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x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x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x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x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x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x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x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x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x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x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x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x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x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x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x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x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x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x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x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x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x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x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x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x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x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x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x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x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x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x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x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x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x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x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x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x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x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x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x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x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x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x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x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x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C8EB8-E372-4C9F-85A7-FB0E49BCC5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visited_landing_p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DC2B0-4D3A-448F-A935-19EE33E62112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tarted_tri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A4547-C8FA-4702-B242-232D3F3A6044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mpleted_onboarding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D42A5-09BB-4AA3-9D06-E44D5D82EDE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2097F-FDFB-437A-A57B-07B9B0C6343F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enue_30d" fld="11" subtotal="average" baseField="2" baseItem="0"/>
  </dataFields>
  <formats count="3">
    <format dxfId="49">
      <pivotArea collapsedLevelsAreSubtotals="1" fieldPosition="0">
        <references count="1">
          <reference field="2" count="1">
            <x v="0"/>
          </reference>
        </references>
      </pivotArea>
    </format>
    <format dxfId="35">
      <pivotArea collapsedLevelsAreSubtotals="1" fieldPosition="0">
        <references count="1">
          <reference field="2" count="1">
            <x v="1"/>
          </reference>
        </references>
      </pivotArea>
    </format>
    <format dxfId="3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1BE6F-2022-48F4-8DF4-87DE396BE2DF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Average of revenue_30d" fld="11" subtotal="average" baseField="2" baseItem="0"/>
  </dataFields>
  <formats count="3">
    <format dxfId="29">
      <pivotArea collapsedLevelsAreSubtotals="1" fieldPosition="0">
        <references count="1">
          <reference field="2" count="1">
            <x v="0"/>
          </reference>
        </references>
      </pivotArea>
    </format>
    <format dxfId="25">
      <pivotArea collapsedLevelsAreSubtotals="1" fieldPosition="0">
        <references count="1">
          <reference field="2" count="1">
            <x v="1"/>
          </reference>
        </references>
      </pivotArea>
    </format>
    <format dxfId="2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24ADC-D874-4C6F-AC51-76FCAD631601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fund_reques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E8329-EF47-4F71-B027-8FE2E6DA12A5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upport_tickets_30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656B1-405F-4203-B1BB-21498E69D321}" name="PivotTable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engagement_score" fld="15" subtotal="average" baseField="2" baseItem="0" numFmtId="2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68B83-775A-41E4-B440-E4DC8BBC9EA1}" name="PivotTable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6">
    <pivotField showAll="0"/>
    <pivotField numFmtId="168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G10" sqref="G10"/>
    </sheetView>
  </sheetViews>
  <sheetFormatPr defaultRowHeight="14.5" x14ac:dyDescent="0.35"/>
  <cols>
    <col min="1" max="1" width="32.1796875" customWidth="1"/>
    <col min="3" max="3" width="10.7265625" customWidth="1"/>
  </cols>
  <sheetData>
    <row r="1" spans="1:3" x14ac:dyDescent="0.35">
      <c r="A1" s="8" t="s">
        <v>0</v>
      </c>
      <c r="B1" s="8" t="s">
        <v>14</v>
      </c>
      <c r="C1" s="8" t="s">
        <v>1</v>
      </c>
    </row>
    <row r="2" spans="1:3" x14ac:dyDescent="0.35">
      <c r="A2" s="1" t="s">
        <v>2</v>
      </c>
      <c r="B2" s="1">
        <v>693</v>
      </c>
      <c r="C2" s="1">
        <v>715</v>
      </c>
    </row>
    <row r="3" spans="1:3" x14ac:dyDescent="0.35">
      <c r="A3" s="1" t="s">
        <v>3</v>
      </c>
      <c r="B3" s="7">
        <v>0.63639999999999997</v>
      </c>
      <c r="C3" s="7">
        <v>0.72589999999999999</v>
      </c>
    </row>
    <row r="4" spans="1:3" x14ac:dyDescent="0.35">
      <c r="A4" s="1" t="s">
        <v>4</v>
      </c>
      <c r="B4" s="7">
        <v>0.25109999999999999</v>
      </c>
      <c r="C4" s="7">
        <v>0.29089999999999999</v>
      </c>
    </row>
    <row r="5" spans="1:3" x14ac:dyDescent="0.35">
      <c r="A5" s="1" t="s">
        <v>5</v>
      </c>
      <c r="B5" s="7">
        <v>0.15579999999999999</v>
      </c>
      <c r="C5" s="7">
        <v>0.21260000000000001</v>
      </c>
    </row>
    <row r="6" spans="1:3" x14ac:dyDescent="0.35">
      <c r="A6" s="1" t="s">
        <v>6</v>
      </c>
      <c r="B6" s="7">
        <v>3.1699999999999999E-2</v>
      </c>
      <c r="C6" s="7">
        <v>6.9900000000000004E-2</v>
      </c>
    </row>
    <row r="7" spans="1:3" x14ac:dyDescent="0.35">
      <c r="A7" s="1" t="s">
        <v>7</v>
      </c>
      <c r="B7" s="1">
        <v>51.75</v>
      </c>
      <c r="C7" s="1">
        <v>53.88</v>
      </c>
    </row>
    <row r="8" spans="1:3" x14ac:dyDescent="0.35">
      <c r="A8" s="1" t="s">
        <v>8</v>
      </c>
      <c r="B8" s="1">
        <v>1630.1</v>
      </c>
      <c r="C8" s="1">
        <v>770.41</v>
      </c>
    </row>
    <row r="9" spans="1:3" x14ac:dyDescent="0.35">
      <c r="A9" s="1" t="s">
        <v>9</v>
      </c>
      <c r="B9" s="7">
        <v>0</v>
      </c>
      <c r="C9" s="7">
        <v>4.1999999999999997E-3</v>
      </c>
    </row>
    <row r="10" spans="1:3" x14ac:dyDescent="0.35">
      <c r="A10" s="1" t="s">
        <v>10</v>
      </c>
      <c r="B10" s="7">
        <v>0.21929999999999999</v>
      </c>
      <c r="C10" s="7">
        <v>0.372</v>
      </c>
    </row>
    <row r="11" spans="1:3" x14ac:dyDescent="0.35">
      <c r="A11" s="1" t="s">
        <v>11</v>
      </c>
      <c r="B11" s="1">
        <v>57.03</v>
      </c>
      <c r="C11" s="1">
        <v>62.93</v>
      </c>
    </row>
    <row r="12" spans="1:3" x14ac:dyDescent="0.35">
      <c r="A12" s="1" t="s">
        <v>12</v>
      </c>
      <c r="B12" s="12" t="s">
        <v>27</v>
      </c>
      <c r="C12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5D19-6A47-4AEA-AA36-8D5EC124A332}">
  <dimension ref="A1:C4"/>
  <sheetViews>
    <sheetView workbookViewId="0">
      <selection activeCell="E18" sqref="E18"/>
    </sheetView>
  </sheetViews>
  <sheetFormatPr defaultRowHeight="14.5" x14ac:dyDescent="0.35"/>
  <cols>
    <col min="1" max="1" width="12.36328125" bestFit="1" customWidth="1"/>
    <col min="2" max="2" width="24.90625" bestFit="1" customWidth="1"/>
    <col min="3" max="3" width="7" style="5" customWidth="1"/>
  </cols>
  <sheetData>
    <row r="1" spans="1:3" x14ac:dyDescent="0.35">
      <c r="A1" s="2" t="s">
        <v>13</v>
      </c>
      <c r="B1" t="s">
        <v>16</v>
      </c>
      <c r="C1" s="6" t="s">
        <v>17</v>
      </c>
    </row>
    <row r="2" spans="1:3" x14ac:dyDescent="0.35">
      <c r="A2" s="3" t="s">
        <v>14</v>
      </c>
      <c r="B2" s="4">
        <v>441</v>
      </c>
      <c r="C2" s="5">
        <f>441/693</f>
        <v>0.63636363636363635</v>
      </c>
    </row>
    <row r="3" spans="1:3" x14ac:dyDescent="0.35">
      <c r="A3" s="3" t="s">
        <v>1</v>
      </c>
      <c r="B3" s="4">
        <v>519</v>
      </c>
      <c r="C3" s="5">
        <f>519/715</f>
        <v>0.72587412587412592</v>
      </c>
    </row>
    <row r="4" spans="1:3" x14ac:dyDescent="0.35">
      <c r="A4" s="3" t="s">
        <v>15</v>
      </c>
      <c r="B4" s="4">
        <v>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68B3-8D70-472B-AB66-187FA460B9E1}">
  <dimension ref="A1:C4"/>
  <sheetViews>
    <sheetView workbookViewId="0">
      <selection activeCell="E9" sqref="E9"/>
    </sheetView>
  </sheetViews>
  <sheetFormatPr defaultRowHeight="14.5" x14ac:dyDescent="0.35"/>
  <cols>
    <col min="1" max="1" width="12.36328125" bestFit="1" customWidth="1"/>
    <col min="2" max="2" width="17.7265625" bestFit="1" customWidth="1"/>
    <col min="3" max="3" width="8.7265625" style="5"/>
  </cols>
  <sheetData>
    <row r="1" spans="1:3" x14ac:dyDescent="0.35">
      <c r="A1" s="2" t="s">
        <v>13</v>
      </c>
      <c r="B1" t="s">
        <v>18</v>
      </c>
      <c r="C1" s="6" t="s">
        <v>17</v>
      </c>
    </row>
    <row r="2" spans="1:3" x14ac:dyDescent="0.35">
      <c r="A2" s="3" t="s">
        <v>14</v>
      </c>
      <c r="B2" s="4">
        <v>174</v>
      </c>
      <c r="C2" s="5">
        <f>174/693</f>
        <v>0.25108225108225107</v>
      </c>
    </row>
    <row r="3" spans="1:3" x14ac:dyDescent="0.35">
      <c r="A3" s="3" t="s">
        <v>1</v>
      </c>
      <c r="B3" s="4">
        <v>208</v>
      </c>
      <c r="C3" s="5">
        <f>208/715</f>
        <v>0.29090909090909089</v>
      </c>
    </row>
    <row r="4" spans="1:3" x14ac:dyDescent="0.35">
      <c r="A4" s="3" t="s">
        <v>15</v>
      </c>
      <c r="B4" s="4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F4C4-3B59-44F3-AB7B-B150EE3512AF}">
  <dimension ref="A1:C4"/>
  <sheetViews>
    <sheetView workbookViewId="0">
      <selection activeCell="F12" sqref="F12"/>
    </sheetView>
  </sheetViews>
  <sheetFormatPr defaultRowHeight="14.5" x14ac:dyDescent="0.35"/>
  <cols>
    <col min="1" max="1" width="12.36328125" bestFit="1" customWidth="1"/>
    <col min="2" max="2" width="27" bestFit="1" customWidth="1"/>
    <col min="3" max="3" width="8.7265625" style="5"/>
  </cols>
  <sheetData>
    <row r="1" spans="1:3" x14ac:dyDescent="0.35">
      <c r="A1" s="2" t="s">
        <v>13</v>
      </c>
      <c r="B1" t="s">
        <v>19</v>
      </c>
      <c r="C1" s="6" t="s">
        <v>17</v>
      </c>
    </row>
    <row r="2" spans="1:3" x14ac:dyDescent="0.35">
      <c r="A2" s="3" t="s">
        <v>14</v>
      </c>
      <c r="B2" s="4">
        <v>108</v>
      </c>
      <c r="C2" s="5">
        <f>108/693</f>
        <v>0.15584415584415584</v>
      </c>
    </row>
    <row r="3" spans="1:3" x14ac:dyDescent="0.35">
      <c r="A3" s="3" t="s">
        <v>1</v>
      </c>
      <c r="B3" s="4">
        <v>152</v>
      </c>
      <c r="C3" s="5">
        <f>152/715</f>
        <v>0.21258741258741259</v>
      </c>
    </row>
    <row r="4" spans="1:3" x14ac:dyDescent="0.35">
      <c r="A4" s="3" t="s">
        <v>15</v>
      </c>
      <c r="B4" s="4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4C9B-E72B-4381-B061-40A93280DCC5}">
  <dimension ref="A1:C4"/>
  <sheetViews>
    <sheetView workbookViewId="0">
      <selection activeCell="I18" sqref="I18"/>
    </sheetView>
  </sheetViews>
  <sheetFormatPr defaultRowHeight="14.5" x14ac:dyDescent="0.35"/>
  <cols>
    <col min="1" max="1" width="12.36328125" bestFit="1" customWidth="1"/>
    <col min="2" max="2" width="23.26953125" bestFit="1" customWidth="1"/>
    <col min="3" max="3" width="8.7265625" style="10"/>
  </cols>
  <sheetData>
    <row r="1" spans="1:3" x14ac:dyDescent="0.35">
      <c r="A1" s="2" t="s">
        <v>13</v>
      </c>
      <c r="B1" t="s">
        <v>20</v>
      </c>
      <c r="C1" s="9" t="s">
        <v>17</v>
      </c>
    </row>
    <row r="2" spans="1:3" x14ac:dyDescent="0.35">
      <c r="A2" s="3" t="s">
        <v>14</v>
      </c>
      <c r="B2" s="4">
        <v>22</v>
      </c>
      <c r="C2" s="10">
        <f>22/693</f>
        <v>3.1746031746031744E-2</v>
      </c>
    </row>
    <row r="3" spans="1:3" x14ac:dyDescent="0.35">
      <c r="A3" s="3" t="s">
        <v>1</v>
      </c>
      <c r="B3" s="4">
        <v>50</v>
      </c>
      <c r="C3" s="10">
        <f>50/715</f>
        <v>6.9930069930069935E-2</v>
      </c>
    </row>
    <row r="4" spans="1:3" x14ac:dyDescent="0.35">
      <c r="A4" s="3" t="s">
        <v>15</v>
      </c>
      <c r="B4" s="4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774D-2971-4BF1-B0D9-175FA74F3FD1}">
  <dimension ref="A1:B4"/>
  <sheetViews>
    <sheetView workbookViewId="0">
      <selection activeCell="F4" sqref="F4"/>
    </sheetView>
  </sheetViews>
  <sheetFormatPr defaultRowHeight="14.5" x14ac:dyDescent="0.35"/>
  <cols>
    <col min="1" max="1" width="12.36328125" bestFit="1" customWidth="1"/>
    <col min="2" max="2" width="21.36328125" bestFit="1" customWidth="1"/>
  </cols>
  <sheetData>
    <row r="1" spans="1:2" x14ac:dyDescent="0.35">
      <c r="A1" s="2" t="s">
        <v>13</v>
      </c>
      <c r="B1" t="s">
        <v>21</v>
      </c>
    </row>
    <row r="2" spans="1:2" x14ac:dyDescent="0.35">
      <c r="A2" s="3" t="s">
        <v>14</v>
      </c>
      <c r="B2" s="11">
        <v>51.74932178932179</v>
      </c>
    </row>
    <row r="3" spans="1:2" x14ac:dyDescent="0.35">
      <c r="A3" s="3" t="s">
        <v>1</v>
      </c>
      <c r="B3" s="11">
        <v>53.875118881118873</v>
      </c>
    </row>
    <row r="4" spans="1:2" x14ac:dyDescent="0.35">
      <c r="A4" s="3" t="s">
        <v>15</v>
      </c>
      <c r="B4" s="11">
        <v>52.828828124999994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E0E9-F8EE-4742-AB1F-B370D9EA2DC6}">
  <dimension ref="A1:B6"/>
  <sheetViews>
    <sheetView workbookViewId="0">
      <selection activeCell="C4" sqref="C4"/>
    </sheetView>
  </sheetViews>
  <sheetFormatPr defaultRowHeight="14.5" x14ac:dyDescent="0.35"/>
  <cols>
    <col min="1" max="1" width="16.6328125" bestFit="1" customWidth="1"/>
    <col min="2" max="2" width="21.36328125" bestFit="1" customWidth="1"/>
  </cols>
  <sheetData>
    <row r="1" spans="1:2" x14ac:dyDescent="0.35">
      <c r="A1" s="2" t="s">
        <v>22</v>
      </c>
      <c r="B1" s="3">
        <v>1</v>
      </c>
    </row>
    <row r="3" spans="1:2" x14ac:dyDescent="0.35">
      <c r="A3" s="2" t="s">
        <v>13</v>
      </c>
      <c r="B3" t="s">
        <v>21</v>
      </c>
    </row>
    <row r="4" spans="1:2" x14ac:dyDescent="0.35">
      <c r="A4" s="3" t="s">
        <v>14</v>
      </c>
      <c r="B4" s="11">
        <v>1630.1036363636363</v>
      </c>
    </row>
    <row r="5" spans="1:2" x14ac:dyDescent="0.35">
      <c r="A5" s="3" t="s">
        <v>1</v>
      </c>
      <c r="B5" s="11">
        <v>770.41419999999994</v>
      </c>
    </row>
    <row r="6" spans="1:2" x14ac:dyDescent="0.35">
      <c r="A6" s="3" t="s">
        <v>15</v>
      </c>
      <c r="B6" s="11">
        <v>1033.0970833333331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63EA-D53F-4A4A-85C2-0E78FFFBCDAA}">
  <dimension ref="A1:C4"/>
  <sheetViews>
    <sheetView workbookViewId="0">
      <selection activeCell="F6" sqref="F6"/>
    </sheetView>
  </sheetViews>
  <sheetFormatPr defaultRowHeight="14.5" x14ac:dyDescent="0.35"/>
  <cols>
    <col min="1" max="1" width="12.36328125" bestFit="1" customWidth="1"/>
    <col min="2" max="2" width="22.54296875" bestFit="1" customWidth="1"/>
    <col min="3" max="3" width="8.7265625" style="5"/>
  </cols>
  <sheetData>
    <row r="1" spans="1:3" x14ac:dyDescent="0.35">
      <c r="A1" s="2" t="s">
        <v>13</v>
      </c>
      <c r="B1" t="s">
        <v>23</v>
      </c>
      <c r="C1" s="6" t="s">
        <v>17</v>
      </c>
    </row>
    <row r="2" spans="1:3" x14ac:dyDescent="0.35">
      <c r="A2" s="3" t="s">
        <v>14</v>
      </c>
      <c r="B2" s="4">
        <v>0</v>
      </c>
      <c r="C2" s="5">
        <f>0/693</f>
        <v>0</v>
      </c>
    </row>
    <row r="3" spans="1:3" x14ac:dyDescent="0.35">
      <c r="A3" s="3" t="s">
        <v>1</v>
      </c>
      <c r="B3" s="4">
        <v>3</v>
      </c>
      <c r="C3" s="5">
        <f>3/715</f>
        <v>4.1958041958041958E-3</v>
      </c>
    </row>
    <row r="4" spans="1:3" x14ac:dyDescent="0.35">
      <c r="A4" s="3" t="s">
        <v>15</v>
      </c>
      <c r="B4" s="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C7B2-5915-46C9-A3D6-156BB5B4EA66}">
  <dimension ref="A1:C4"/>
  <sheetViews>
    <sheetView workbookViewId="0">
      <selection activeCell="E3" sqref="E3"/>
    </sheetView>
  </sheetViews>
  <sheetFormatPr defaultRowHeight="14.5" x14ac:dyDescent="0.35"/>
  <cols>
    <col min="1" max="1" width="12.36328125" bestFit="1" customWidth="1"/>
    <col min="2" max="2" width="24.6328125" bestFit="1" customWidth="1"/>
    <col min="3" max="3" width="8.7265625" style="5"/>
  </cols>
  <sheetData>
    <row r="1" spans="1:3" x14ac:dyDescent="0.35">
      <c r="A1" s="2" t="s">
        <v>13</v>
      </c>
      <c r="B1" t="s">
        <v>24</v>
      </c>
      <c r="C1" s="6" t="s">
        <v>17</v>
      </c>
    </row>
    <row r="2" spans="1:3" x14ac:dyDescent="0.35">
      <c r="A2" s="3" t="s">
        <v>14</v>
      </c>
      <c r="B2" s="4">
        <v>152</v>
      </c>
      <c r="C2" s="5">
        <f>152/693</f>
        <v>0.21933621933621933</v>
      </c>
    </row>
    <row r="3" spans="1:3" x14ac:dyDescent="0.35">
      <c r="A3" s="3" t="s">
        <v>1</v>
      </c>
      <c r="B3" s="4">
        <v>266</v>
      </c>
      <c r="C3" s="5">
        <f>266/715</f>
        <v>0.37202797202797205</v>
      </c>
    </row>
    <row r="4" spans="1:3" x14ac:dyDescent="0.35">
      <c r="A4" s="3" t="s">
        <v>15</v>
      </c>
      <c r="B4" s="4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9DF4-97D4-4197-8F7F-0870075E1AA7}">
  <dimension ref="A1:B4"/>
  <sheetViews>
    <sheetView workbookViewId="0">
      <selection activeCell="E6" sqref="E6"/>
    </sheetView>
  </sheetViews>
  <sheetFormatPr defaultRowHeight="14.5" x14ac:dyDescent="0.35"/>
  <cols>
    <col min="1" max="1" width="12.36328125" bestFit="1" customWidth="1"/>
    <col min="2" max="2" width="26.36328125" bestFit="1" customWidth="1"/>
  </cols>
  <sheetData>
    <row r="1" spans="1:2" x14ac:dyDescent="0.35">
      <c r="A1" s="2" t="s">
        <v>13</v>
      </c>
      <c r="B1" t="s">
        <v>25</v>
      </c>
    </row>
    <row r="2" spans="1:2" x14ac:dyDescent="0.35">
      <c r="A2" s="3" t="s">
        <v>14</v>
      </c>
      <c r="B2" s="11">
        <v>57.026200873362491</v>
      </c>
    </row>
    <row r="3" spans="1:2" x14ac:dyDescent="0.35">
      <c r="A3" s="3" t="s">
        <v>1</v>
      </c>
      <c r="B3" s="11">
        <v>62.931966053748233</v>
      </c>
    </row>
    <row r="4" spans="1:2" x14ac:dyDescent="0.35">
      <c r="A4" s="3" t="s">
        <v>15</v>
      </c>
      <c r="B4" s="11">
        <v>60.02144906743186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D05-AA4C-44B5-B12D-77DF3F112EE7}">
  <dimension ref="A1:B6"/>
  <sheetViews>
    <sheetView tabSelected="1" workbookViewId="0">
      <selection activeCell="D11" sqref="D11"/>
    </sheetView>
  </sheetViews>
  <sheetFormatPr defaultRowHeight="14.5" x14ac:dyDescent="0.35"/>
  <cols>
    <col min="1" max="1" width="16.6328125" bestFit="1" customWidth="1"/>
    <col min="2" max="2" width="24.453125" bestFit="1" customWidth="1"/>
  </cols>
  <sheetData>
    <row r="1" spans="1:2" x14ac:dyDescent="0.35">
      <c r="A1" s="2" t="s">
        <v>22</v>
      </c>
      <c r="B1" s="3">
        <v>1</v>
      </c>
    </row>
    <row r="3" spans="1:2" x14ac:dyDescent="0.35">
      <c r="A3" s="2" t="s">
        <v>13</v>
      </c>
      <c r="B3" t="s">
        <v>26</v>
      </c>
    </row>
    <row r="4" spans="1:2" x14ac:dyDescent="0.35">
      <c r="A4" s="3" t="s">
        <v>14</v>
      </c>
      <c r="B4" s="4">
        <v>8.8636363636363633</v>
      </c>
    </row>
    <row r="5" spans="1:2" x14ac:dyDescent="0.35">
      <c r="A5" s="3" t="s">
        <v>1</v>
      </c>
      <c r="B5" s="4">
        <v>6.4</v>
      </c>
    </row>
    <row r="6" spans="1:2" x14ac:dyDescent="0.35">
      <c r="A6" s="3" t="s">
        <v>15</v>
      </c>
      <c r="B6" s="4">
        <v>7.1527777777777777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Summary_Metrics</vt:lpstr>
      <vt:lpstr>Landing_Page_Rate</vt:lpstr>
      <vt:lpstr>Trial_Start_Rate</vt:lpstr>
      <vt:lpstr>Onboarding_Completion</vt:lpstr>
      <vt:lpstr>Paid Conversion</vt:lpstr>
      <vt:lpstr>ARPU</vt:lpstr>
      <vt:lpstr>Revenue_Per_Converted_User</vt:lpstr>
      <vt:lpstr>Refund_Rate</vt:lpstr>
      <vt:lpstr>Support_Ticket_Rate</vt:lpstr>
      <vt:lpstr>Engagement_Score</vt:lpstr>
      <vt:lpstr>Days_To_Convert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V Satish</dc:creator>
  <cp:lastModifiedBy>Satish C V</cp:lastModifiedBy>
  <dcterms:created xsi:type="dcterms:W3CDTF">2015-06-05T18:17:20Z</dcterms:created>
  <dcterms:modified xsi:type="dcterms:W3CDTF">2026-06-24T09:44:02Z</dcterms:modified>
</cp:coreProperties>
</file>